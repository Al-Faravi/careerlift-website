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reerlift\Desktop\"/>
    </mc:Choice>
  </mc:AlternateContent>
  <xr:revisionPtr revIDLastSave="0" documentId="13_ncr:1_{22566814-CCA7-4659-8B96-BC86695DE5D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8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9" i="1"/>
  <c r="K10" i="1"/>
  <c r="K11" i="1"/>
  <c r="K8" i="1"/>
</calcChain>
</file>

<file path=xl/sharedStrings.xml><?xml version="1.0" encoding="utf-8"?>
<sst xmlns="http://schemas.openxmlformats.org/spreadsheetml/2006/main" count="116" uniqueCount="95">
  <si>
    <t>SL No.</t>
  </si>
  <si>
    <t>Account Number</t>
  </si>
  <si>
    <t>Routing Number</t>
  </si>
  <si>
    <t>Bank Name</t>
  </si>
  <si>
    <t>Branch Name</t>
  </si>
  <si>
    <t>Trainees' Bank Information Format</t>
  </si>
  <si>
    <t>Name of the Trainee</t>
  </si>
  <si>
    <t>Trainee's NID No.</t>
  </si>
  <si>
    <t>Mobile Number</t>
  </si>
  <si>
    <t xml:space="preserve">Total Present day out of 72 days </t>
  </si>
  <si>
    <t>Per day Conveyance (TK.)</t>
  </si>
  <si>
    <t>Total Trainee Honorarium</t>
  </si>
  <si>
    <t>Total Conveyance  (TK.)</t>
  </si>
  <si>
    <t>Total Payable Taka</t>
  </si>
  <si>
    <t>signature (Information checked by trainee )</t>
  </si>
  <si>
    <t>Bangladesh Private Medical College Association (BPMCA)</t>
  </si>
  <si>
    <t>৫. e¨vsK Z_¨ cÖwkKvlbv_©x‡`i</t>
  </si>
  <si>
    <t>ASSET EBT BPMCA Project (3rd Cycle)</t>
  </si>
  <si>
    <r>
      <t xml:space="preserve">Course Name &amp; Level:-                                                                                                                                      Type of Training: TSTP        </t>
    </r>
    <r>
      <rPr>
        <sz val="12"/>
        <color rgb="FFFF0000"/>
        <rFont val="Times New Roman"/>
        <family val="1"/>
      </rPr>
      <t>Cycle: 03</t>
    </r>
  </si>
  <si>
    <t>Masuma Hossain</t>
  </si>
  <si>
    <t>Agrani Bank PLC.</t>
  </si>
  <si>
    <t>Tan Bazar, Narayanganj</t>
  </si>
  <si>
    <t>Farzana Boby</t>
  </si>
  <si>
    <t>Central law college</t>
  </si>
  <si>
    <t>Liza akter</t>
  </si>
  <si>
    <t>Md. Shahin Alam</t>
  </si>
  <si>
    <t>Shawon Ghosh</t>
  </si>
  <si>
    <t>MD Shakawat Hossain Faravi</t>
  </si>
  <si>
    <t>MD OBAYDUL</t>
  </si>
  <si>
    <t>JAKIYA KHANOM</t>
  </si>
  <si>
    <t>MD. ASHIK MAHMOOD</t>
  </si>
  <si>
    <t>Afsana Akter</t>
  </si>
  <si>
    <t>Syeda Farjana Akhe</t>
  </si>
  <si>
    <t>Faiz Ahmed</t>
  </si>
  <si>
    <t>Tasnim Chowdhury Rahi</t>
  </si>
  <si>
    <t>Farzana Islam</t>
  </si>
  <si>
    <t>Mst Lovely purvin</t>
  </si>
  <si>
    <t>OWASIM RIFAT</t>
  </si>
  <si>
    <t>Sharmin Nahar</t>
  </si>
  <si>
    <t>Taspia jahan</t>
  </si>
  <si>
    <t>Farjana Akter</t>
  </si>
  <si>
    <t>Sayeda Habiba Mustarin</t>
  </si>
  <si>
    <t>MD Rayhan Hossen</t>
  </si>
  <si>
    <t>Omar Faruk</t>
  </si>
  <si>
    <t>SMSA 2050 339 6700420405</t>
  </si>
  <si>
    <t>Dbbl</t>
  </si>
  <si>
    <t>Islami Bank Bangladesh PLC</t>
  </si>
  <si>
    <t>PUBALI BANK PLC</t>
  </si>
  <si>
    <t>Al- Arafah Islami Bank PLC</t>
  </si>
  <si>
    <t>Dutch Bangla Bank PlC</t>
  </si>
  <si>
    <t>Mouchak branch dhaka</t>
  </si>
  <si>
    <t>Local Office, dilkusha, dhaka.</t>
  </si>
  <si>
    <t>Rampura Television</t>
  </si>
  <si>
    <t>Islami Bank College Road Branch, Feni</t>
  </si>
  <si>
    <t>Shantinagar</t>
  </si>
  <si>
    <t>Dholaipar</t>
  </si>
  <si>
    <t>BAR LIBRARY, DHAKA</t>
  </si>
  <si>
    <t>Jatiya press club, 8381</t>
  </si>
  <si>
    <t>Shahrasti,Chandpur</t>
  </si>
  <si>
    <t>Manda</t>
  </si>
  <si>
    <t>Gulshan branch, Dhaka</t>
  </si>
  <si>
    <t>Naogaon</t>
  </si>
  <si>
    <t>CENTRAL LAW COLLEGE</t>
  </si>
  <si>
    <t>Rampura Branch6078</t>
  </si>
  <si>
    <t>Shewrapara</t>
  </si>
  <si>
    <t>Jatrabary</t>
  </si>
  <si>
    <t>Mirpur Branch, Dhaka North Zone</t>
  </si>
  <si>
    <t>Demra</t>
  </si>
  <si>
    <t>010271216</t>
  </si>
  <si>
    <t>010671753</t>
  </si>
  <si>
    <t>090273889</t>
  </si>
  <si>
    <t>010275746</t>
  </si>
  <si>
    <t>010276011</t>
  </si>
  <si>
    <t>010271874</t>
  </si>
  <si>
    <t>010273193</t>
  </si>
  <si>
    <t>010121377</t>
  </si>
  <si>
    <t>015262875</t>
  </si>
  <si>
    <t>010261721</t>
  </si>
  <si>
    <t>010641183</t>
  </si>
  <si>
    <t>010275388</t>
  </si>
  <si>
    <t>090264272</t>
  </si>
  <si>
    <t>010273227</t>
  </si>
  <si>
    <t>010262988</t>
  </si>
  <si>
    <t>010670312</t>
  </si>
  <si>
    <t>19883090 182058500</t>
  </si>
  <si>
    <t>1999541 4031106000</t>
  </si>
  <si>
    <t>19901319 595045800</t>
  </si>
  <si>
    <t>20042619 080029700</t>
  </si>
  <si>
    <t>19842694 812056300</t>
  </si>
  <si>
    <t>Name of STP &amp; Address: Careerlift Medical &amp; HealthCare Solutions, Bijoy Nagar, Dhaka</t>
  </si>
  <si>
    <t>19832621 409393611</t>
  </si>
  <si>
    <t>199468107 71000168</t>
  </si>
  <si>
    <t>3087348992525</t>
  </si>
  <si>
    <t>1011580016856</t>
  </si>
  <si>
    <t>010274392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</si>
</sst>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SutonnyMJ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64" fontId="4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right" vertical="center" wrapText="1"/>
    </xf>
    <xf numFmtId="164" fontId="10" fillId="0" borderId="1" xfId="0" quotePrefix="1" applyNumberFormat="1" applyFont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right" vertical="center"/>
    </xf>
    <xf numFmtId="164" fontId="10" fillId="3" borderId="1" xfId="0" quotePrefix="1" applyNumberFormat="1" applyFont="1" applyFill="1" applyBorder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right" vertical="center" wrapText="1"/>
    </xf>
    <xf numFmtId="164" fontId="10" fillId="0" borderId="1" xfId="0" quotePrefix="1" applyNumberFormat="1" applyFont="1" applyBorder="1" applyAlignment="1">
      <alignment horizontal="right" vertical="center" wrapText="1"/>
    </xf>
    <xf numFmtId="164" fontId="10" fillId="2" borderId="1" xfId="0" quotePrefix="1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3" borderId="1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1" fillId="0" borderId="1" xfId="0" applyFont="1" applyBorder="1"/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0" quotePrefix="1" applyNumberFormat="1" applyFont="1" applyBorder="1" applyAlignment="1">
      <alignment horizontal="right"/>
    </xf>
    <xf numFmtId="0" fontId="11" fillId="0" borderId="1" xfId="0" quotePrefix="1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1" fillId="0" borderId="1" xfId="0" quotePrefix="1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A7" zoomScaleNormal="100" workbookViewId="0">
      <selection activeCell="F11" sqref="F11"/>
    </sheetView>
  </sheetViews>
  <sheetFormatPr defaultColWidth="8.7109375" defaultRowHeight="15"/>
  <cols>
    <col min="1" max="1" width="5.42578125" style="1" customWidth="1"/>
    <col min="2" max="2" width="21.42578125" style="1" customWidth="1"/>
    <col min="3" max="3" width="17.85546875" style="28" customWidth="1"/>
    <col min="4" max="4" width="18.42578125" style="29" customWidth="1"/>
    <col min="5" max="5" width="20.140625" style="10" customWidth="1"/>
    <col min="6" max="6" width="14.5703125" style="29" customWidth="1"/>
    <col min="7" max="7" width="19.42578125" style="29" customWidth="1"/>
    <col min="8" max="8" width="18.42578125" style="29" customWidth="1"/>
    <col min="9" max="9" width="10.140625" style="3" customWidth="1"/>
    <col min="10" max="10" width="12" style="3" customWidth="1"/>
    <col min="11" max="11" width="11.5703125" style="3" customWidth="1"/>
    <col min="12" max="12" width="11" style="3" customWidth="1"/>
    <col min="13" max="13" width="7.42578125" style="3" customWidth="1"/>
    <col min="14" max="14" width="13.42578125" style="4" customWidth="1"/>
    <col min="15" max="16384" width="8.7109375" style="1"/>
  </cols>
  <sheetData>
    <row r="1" spans="1:15">
      <c r="A1" s="51" t="s">
        <v>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6"/>
    </row>
    <row r="2" spans="1:15" ht="15.7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6"/>
    </row>
    <row r="3" spans="1:15" ht="15.7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6"/>
    </row>
    <row r="4" spans="1:15" ht="15.75">
      <c r="A4" s="49" t="s">
        <v>89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6"/>
    </row>
    <row r="5" spans="1:15" ht="15.75">
      <c r="A5" s="50" t="s">
        <v>18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6"/>
    </row>
    <row r="6" spans="1:15" ht="18.75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6"/>
    </row>
    <row r="7" spans="1:15" ht="57">
      <c r="A7" s="11" t="s">
        <v>0</v>
      </c>
      <c r="B7" s="11" t="s">
        <v>6</v>
      </c>
      <c r="C7" s="12" t="s">
        <v>8</v>
      </c>
      <c r="D7" s="11" t="s">
        <v>7</v>
      </c>
      <c r="E7" s="13" t="s">
        <v>1</v>
      </c>
      <c r="F7" s="11" t="s">
        <v>2</v>
      </c>
      <c r="G7" s="11" t="s">
        <v>3</v>
      </c>
      <c r="H7" s="11" t="s">
        <v>4</v>
      </c>
      <c r="I7" s="11" t="s">
        <v>9</v>
      </c>
      <c r="J7" s="11" t="s">
        <v>10</v>
      </c>
      <c r="K7" s="11" t="s">
        <v>12</v>
      </c>
      <c r="L7" s="11" t="s">
        <v>11</v>
      </c>
      <c r="M7" s="11" t="s">
        <v>13</v>
      </c>
      <c r="N7" s="2" t="s">
        <v>14</v>
      </c>
      <c r="O7" s="6"/>
    </row>
    <row r="8" spans="1:15" ht="25.5">
      <c r="A8" s="14">
        <v>1</v>
      </c>
      <c r="B8" s="38" t="s">
        <v>19</v>
      </c>
      <c r="C8" s="39">
        <v>1687423341</v>
      </c>
      <c r="D8" s="40">
        <v>2809514074</v>
      </c>
      <c r="E8" s="41">
        <v>200026016355</v>
      </c>
      <c r="F8" s="42" t="s">
        <v>69</v>
      </c>
      <c r="G8" s="43" t="s">
        <v>20</v>
      </c>
      <c r="H8" s="43" t="s">
        <v>21</v>
      </c>
      <c r="I8" s="15">
        <v>65</v>
      </c>
      <c r="J8" s="16">
        <v>100</v>
      </c>
      <c r="K8" s="16">
        <f>I8*J8</f>
        <v>6500</v>
      </c>
      <c r="L8" s="16">
        <v>6000</v>
      </c>
      <c r="M8" s="16">
        <f>K8+L8</f>
        <v>12500</v>
      </c>
      <c r="N8" s="5"/>
      <c r="O8" s="6"/>
    </row>
    <row r="9" spans="1:15" ht="25.5">
      <c r="A9" s="14">
        <v>2</v>
      </c>
      <c r="B9" s="38" t="s">
        <v>22</v>
      </c>
      <c r="C9" s="44">
        <v>1999139094</v>
      </c>
      <c r="D9" s="40">
        <v>2844102836</v>
      </c>
      <c r="E9" s="17">
        <v>200026019236</v>
      </c>
      <c r="F9" s="42" t="s">
        <v>68</v>
      </c>
      <c r="G9" s="45" t="s">
        <v>20</v>
      </c>
      <c r="H9" s="45" t="s">
        <v>62</v>
      </c>
      <c r="I9" s="15">
        <v>69</v>
      </c>
      <c r="J9" s="16">
        <v>100</v>
      </c>
      <c r="K9" s="16">
        <f t="shared" ref="K9:K29" si="0">I9*J9</f>
        <v>6900</v>
      </c>
      <c r="L9" s="16">
        <v>6000</v>
      </c>
      <c r="M9" s="16">
        <f t="shared" ref="M9:M29" si="1">K9+L9</f>
        <v>12900</v>
      </c>
      <c r="N9" s="5"/>
      <c r="O9" s="6"/>
    </row>
    <row r="10" spans="1:15" ht="25.5">
      <c r="A10" s="14">
        <v>3</v>
      </c>
      <c r="B10" s="46" t="s">
        <v>24</v>
      </c>
      <c r="C10" s="18">
        <v>1638231943</v>
      </c>
      <c r="D10" s="43">
        <v>3314124698</v>
      </c>
      <c r="E10" s="19">
        <v>200025998926</v>
      </c>
      <c r="F10" s="30" t="s">
        <v>94</v>
      </c>
      <c r="G10" s="43" t="s">
        <v>20</v>
      </c>
      <c r="H10" s="43" t="s">
        <v>50</v>
      </c>
      <c r="I10" s="15">
        <v>68</v>
      </c>
      <c r="J10" s="16">
        <v>100</v>
      </c>
      <c r="K10" s="16">
        <f t="shared" si="0"/>
        <v>6800</v>
      </c>
      <c r="L10" s="16">
        <v>6000</v>
      </c>
      <c r="M10" s="16">
        <f t="shared" si="1"/>
        <v>12800</v>
      </c>
      <c r="N10" s="5"/>
      <c r="O10" s="6"/>
    </row>
    <row r="11" spans="1:15" ht="25.5">
      <c r="A11" s="14">
        <v>4</v>
      </c>
      <c r="B11" s="47" t="s">
        <v>25</v>
      </c>
      <c r="C11" s="20">
        <v>1616009393</v>
      </c>
      <c r="D11" s="45" t="s">
        <v>90</v>
      </c>
      <c r="E11" s="21" t="s">
        <v>93</v>
      </c>
      <c r="F11" s="14" t="s">
        <v>70</v>
      </c>
      <c r="G11" s="45" t="s">
        <v>45</v>
      </c>
      <c r="H11" s="45" t="s">
        <v>51</v>
      </c>
      <c r="I11" s="15">
        <v>67</v>
      </c>
      <c r="J11" s="16">
        <v>100</v>
      </c>
      <c r="K11" s="16">
        <f t="shared" si="0"/>
        <v>6700</v>
      </c>
      <c r="L11" s="16">
        <v>6000</v>
      </c>
      <c r="M11" s="16">
        <f t="shared" si="1"/>
        <v>12700</v>
      </c>
      <c r="N11" s="5"/>
      <c r="O11" s="6"/>
    </row>
    <row r="12" spans="1:15">
      <c r="A12" s="14">
        <v>5</v>
      </c>
      <c r="B12" s="46" t="s">
        <v>26</v>
      </c>
      <c r="C12" s="18">
        <v>1850303512</v>
      </c>
      <c r="D12" s="43">
        <v>5113951775</v>
      </c>
      <c r="E12" s="21">
        <v>200023624649</v>
      </c>
      <c r="F12" s="14" t="s">
        <v>71</v>
      </c>
      <c r="G12" s="43" t="s">
        <v>20</v>
      </c>
      <c r="H12" s="43" t="s">
        <v>52</v>
      </c>
      <c r="I12" s="15">
        <v>69</v>
      </c>
      <c r="J12" s="16">
        <v>100</v>
      </c>
      <c r="K12" s="16">
        <f t="shared" si="0"/>
        <v>6900</v>
      </c>
      <c r="L12" s="16">
        <v>6000</v>
      </c>
      <c r="M12" s="16">
        <f t="shared" si="1"/>
        <v>12900</v>
      </c>
      <c r="N12" s="5"/>
      <c r="O12" s="6"/>
    </row>
    <row r="13" spans="1:15" ht="30">
      <c r="A13" s="14">
        <v>6</v>
      </c>
      <c r="B13" s="47" t="s">
        <v>27</v>
      </c>
      <c r="C13" s="18">
        <v>1822505786</v>
      </c>
      <c r="D13" s="45">
        <v>3760226864</v>
      </c>
      <c r="E13" s="22" t="s">
        <v>44</v>
      </c>
      <c r="F13" s="31">
        <v>125300348</v>
      </c>
      <c r="G13" s="45" t="s">
        <v>46</v>
      </c>
      <c r="H13" s="45" t="s">
        <v>53</v>
      </c>
      <c r="I13" s="15">
        <v>71</v>
      </c>
      <c r="J13" s="16">
        <v>100</v>
      </c>
      <c r="K13" s="16">
        <f t="shared" si="0"/>
        <v>7100</v>
      </c>
      <c r="L13" s="16">
        <v>6000</v>
      </c>
      <c r="M13" s="16">
        <f t="shared" si="1"/>
        <v>13100</v>
      </c>
      <c r="N13" s="5"/>
      <c r="O13" s="6"/>
    </row>
    <row r="14" spans="1:15">
      <c r="A14" s="14">
        <v>7</v>
      </c>
      <c r="B14" s="46" t="s">
        <v>28</v>
      </c>
      <c r="C14" s="18">
        <v>1410842777</v>
      </c>
      <c r="D14" s="43">
        <v>3781391911</v>
      </c>
      <c r="E14" s="19">
        <v>200026016853</v>
      </c>
      <c r="F14" s="30" t="s">
        <v>72</v>
      </c>
      <c r="G14" s="43" t="s">
        <v>20</v>
      </c>
      <c r="H14" s="43" t="s">
        <v>54</v>
      </c>
      <c r="I14" s="15">
        <v>70</v>
      </c>
      <c r="J14" s="16">
        <v>100</v>
      </c>
      <c r="K14" s="16">
        <f t="shared" si="0"/>
        <v>7000</v>
      </c>
      <c r="L14" s="16">
        <v>6000</v>
      </c>
      <c r="M14" s="16">
        <f t="shared" si="1"/>
        <v>13000</v>
      </c>
      <c r="N14" s="5"/>
      <c r="O14" s="6"/>
    </row>
    <row r="15" spans="1:15">
      <c r="A15" s="14">
        <v>8</v>
      </c>
      <c r="B15" s="47" t="s">
        <v>29</v>
      </c>
      <c r="C15" s="18">
        <v>1342570656</v>
      </c>
      <c r="D15" s="45">
        <v>1502485855</v>
      </c>
      <c r="E15" s="23">
        <v>200026019876</v>
      </c>
      <c r="F15" s="32" t="s">
        <v>73</v>
      </c>
      <c r="G15" s="45" t="s">
        <v>20</v>
      </c>
      <c r="H15" s="45" t="s">
        <v>55</v>
      </c>
      <c r="I15" s="15">
        <v>66</v>
      </c>
      <c r="J15" s="16">
        <v>100</v>
      </c>
      <c r="K15" s="16">
        <f t="shared" si="0"/>
        <v>6600</v>
      </c>
      <c r="L15" s="16">
        <v>6000</v>
      </c>
      <c r="M15" s="16">
        <f t="shared" si="1"/>
        <v>12600</v>
      </c>
      <c r="N15" s="5"/>
      <c r="O15" s="6"/>
    </row>
    <row r="16" spans="1:15" ht="25.5">
      <c r="A16" s="14">
        <v>9</v>
      </c>
      <c r="B16" s="46" t="s">
        <v>30</v>
      </c>
      <c r="C16" s="18">
        <v>1922655910</v>
      </c>
      <c r="D16" s="43" t="s">
        <v>84</v>
      </c>
      <c r="E16" s="24">
        <v>963101087635</v>
      </c>
      <c r="F16" s="33">
        <v>175270949</v>
      </c>
      <c r="G16" s="43" t="s">
        <v>47</v>
      </c>
      <c r="H16" s="43" t="s">
        <v>56</v>
      </c>
      <c r="I16" s="15">
        <v>69</v>
      </c>
      <c r="J16" s="16">
        <v>100</v>
      </c>
      <c r="K16" s="16">
        <f t="shared" si="0"/>
        <v>6900</v>
      </c>
      <c r="L16" s="16">
        <v>6000</v>
      </c>
      <c r="M16" s="16">
        <f t="shared" si="1"/>
        <v>12900</v>
      </c>
      <c r="N16" s="5"/>
      <c r="O16" s="6"/>
    </row>
    <row r="17" spans="1:15">
      <c r="A17" s="14">
        <v>10</v>
      </c>
      <c r="B17" s="47" t="s">
        <v>31</v>
      </c>
      <c r="C17" s="18">
        <v>1840100531</v>
      </c>
      <c r="D17" s="45">
        <v>6029198485</v>
      </c>
      <c r="E17" s="21">
        <v>200026018867</v>
      </c>
      <c r="F17" s="14" t="s">
        <v>68</v>
      </c>
      <c r="G17" s="45" t="s">
        <v>20</v>
      </c>
      <c r="H17" s="45" t="s">
        <v>23</v>
      </c>
      <c r="I17" s="15">
        <v>71</v>
      </c>
      <c r="J17" s="16">
        <v>100</v>
      </c>
      <c r="K17" s="16">
        <f t="shared" si="0"/>
        <v>7100</v>
      </c>
      <c r="L17" s="16">
        <v>6000</v>
      </c>
      <c r="M17" s="16">
        <f t="shared" si="1"/>
        <v>13100</v>
      </c>
      <c r="N17" s="5"/>
      <c r="O17" s="6"/>
    </row>
    <row r="18" spans="1:15" ht="25.5">
      <c r="A18" s="14">
        <v>11</v>
      </c>
      <c r="B18" s="46" t="s">
        <v>32</v>
      </c>
      <c r="C18" s="18">
        <v>1321063840</v>
      </c>
      <c r="D18" s="43" t="s">
        <v>85</v>
      </c>
      <c r="E18" s="19">
        <v>200025622167</v>
      </c>
      <c r="F18" s="30" t="s">
        <v>74</v>
      </c>
      <c r="G18" s="43" t="s">
        <v>20</v>
      </c>
      <c r="H18" s="43" t="s">
        <v>57</v>
      </c>
      <c r="I18" s="15">
        <v>72</v>
      </c>
      <c r="J18" s="16">
        <v>100</v>
      </c>
      <c r="K18" s="16">
        <f t="shared" si="0"/>
        <v>7200</v>
      </c>
      <c r="L18" s="16">
        <v>6000</v>
      </c>
      <c r="M18" s="16">
        <f t="shared" si="1"/>
        <v>13200</v>
      </c>
      <c r="N18" s="5"/>
      <c r="O18" s="6"/>
    </row>
    <row r="19" spans="1:15" ht="25.5">
      <c r="A19" s="14">
        <v>12</v>
      </c>
      <c r="B19" s="47" t="s">
        <v>33</v>
      </c>
      <c r="C19" s="18">
        <v>1818865266</v>
      </c>
      <c r="D19" s="45" t="s">
        <v>86</v>
      </c>
      <c r="E19" s="19">
        <v>200025999319</v>
      </c>
      <c r="F19" s="32" t="s">
        <v>75</v>
      </c>
      <c r="G19" s="45" t="s">
        <v>20</v>
      </c>
      <c r="H19" s="45" t="s">
        <v>58</v>
      </c>
      <c r="I19" s="15">
        <v>68</v>
      </c>
      <c r="J19" s="16">
        <v>100</v>
      </c>
      <c r="K19" s="16">
        <f t="shared" si="0"/>
        <v>6800</v>
      </c>
      <c r="L19" s="16">
        <v>6000</v>
      </c>
      <c r="M19" s="16">
        <f t="shared" si="1"/>
        <v>12800</v>
      </c>
      <c r="N19" s="5"/>
      <c r="O19" s="6"/>
    </row>
    <row r="20" spans="1:15" ht="25.5">
      <c r="A20" s="14">
        <v>13</v>
      </c>
      <c r="B20" s="46" t="s">
        <v>34</v>
      </c>
      <c r="C20" s="18">
        <v>1781711390</v>
      </c>
      <c r="D20" s="43" t="s">
        <v>87</v>
      </c>
      <c r="E20" s="23">
        <v>591120140089</v>
      </c>
      <c r="F20" s="32" t="s">
        <v>76</v>
      </c>
      <c r="G20" s="43" t="s">
        <v>48</v>
      </c>
      <c r="H20" s="43" t="s">
        <v>59</v>
      </c>
      <c r="I20" s="15">
        <v>69</v>
      </c>
      <c r="J20" s="16">
        <v>100</v>
      </c>
      <c r="K20" s="16">
        <f t="shared" si="0"/>
        <v>6900</v>
      </c>
      <c r="L20" s="16">
        <v>6000</v>
      </c>
      <c r="M20" s="16">
        <f t="shared" si="1"/>
        <v>12900</v>
      </c>
      <c r="N20" s="5"/>
      <c r="O20" s="6"/>
    </row>
    <row r="21" spans="1:15" ht="25.5">
      <c r="A21" s="14">
        <v>14</v>
      </c>
      <c r="B21" s="47" t="s">
        <v>35</v>
      </c>
      <c r="C21" s="18">
        <v>1777920209</v>
      </c>
      <c r="D21" s="45" t="s">
        <v>91</v>
      </c>
      <c r="E21" s="19">
        <v>200025346769</v>
      </c>
      <c r="F21" s="30" t="s">
        <v>77</v>
      </c>
      <c r="G21" s="45" t="s">
        <v>20</v>
      </c>
      <c r="H21" s="45" t="s">
        <v>60</v>
      </c>
      <c r="I21" s="15">
        <v>65</v>
      </c>
      <c r="J21" s="16">
        <v>100</v>
      </c>
      <c r="K21" s="16">
        <f t="shared" si="0"/>
        <v>6500</v>
      </c>
      <c r="L21" s="16">
        <v>6000</v>
      </c>
      <c r="M21" s="16">
        <f t="shared" si="1"/>
        <v>12500</v>
      </c>
      <c r="N21" s="5"/>
      <c r="O21" s="6"/>
    </row>
    <row r="22" spans="1:15">
      <c r="A22" s="14">
        <v>15</v>
      </c>
      <c r="B22" s="46" t="s">
        <v>36</v>
      </c>
      <c r="C22" s="25">
        <v>1741605311</v>
      </c>
      <c r="D22" s="43">
        <v>1013162076</v>
      </c>
      <c r="E22" s="23">
        <v>200020487775</v>
      </c>
      <c r="F22" s="32" t="s">
        <v>78</v>
      </c>
      <c r="G22" s="43" t="s">
        <v>20</v>
      </c>
      <c r="H22" s="43" t="s">
        <v>61</v>
      </c>
      <c r="I22" s="15">
        <v>68</v>
      </c>
      <c r="J22" s="16">
        <v>100</v>
      </c>
      <c r="K22" s="16">
        <f t="shared" si="0"/>
        <v>6800</v>
      </c>
      <c r="L22" s="16">
        <v>6000</v>
      </c>
      <c r="M22" s="16">
        <f t="shared" si="1"/>
        <v>12800</v>
      </c>
      <c r="N22" s="5"/>
      <c r="O22" s="6"/>
    </row>
    <row r="23" spans="1:15" ht="25.5">
      <c r="A23" s="14">
        <v>16</v>
      </c>
      <c r="B23" s="47" t="s">
        <v>37</v>
      </c>
      <c r="C23" s="18">
        <v>1731454728</v>
      </c>
      <c r="D23" s="45">
        <v>7830691981</v>
      </c>
      <c r="E23" s="21">
        <v>200026020292</v>
      </c>
      <c r="F23" s="14" t="s">
        <v>79</v>
      </c>
      <c r="G23" s="45" t="s">
        <v>20</v>
      </c>
      <c r="H23" s="45" t="s">
        <v>62</v>
      </c>
      <c r="I23" s="15">
        <v>68</v>
      </c>
      <c r="J23" s="16">
        <v>100</v>
      </c>
      <c r="K23" s="16">
        <f t="shared" si="0"/>
        <v>6800</v>
      </c>
      <c r="L23" s="16">
        <v>6000</v>
      </c>
      <c r="M23" s="16">
        <f t="shared" si="1"/>
        <v>12800</v>
      </c>
      <c r="N23" s="5"/>
      <c r="O23" s="6"/>
    </row>
    <row r="24" spans="1:15" ht="25.5">
      <c r="A24" s="14">
        <v>17</v>
      </c>
      <c r="B24" s="46" t="s">
        <v>38</v>
      </c>
      <c r="C24" s="18">
        <v>1738406246</v>
      </c>
      <c r="D24" s="43">
        <v>7767946762</v>
      </c>
      <c r="E24" s="17">
        <v>200026024055</v>
      </c>
      <c r="F24" s="14" t="s">
        <v>71</v>
      </c>
      <c r="G24" s="43" t="s">
        <v>20</v>
      </c>
      <c r="H24" s="43" t="s">
        <v>63</v>
      </c>
      <c r="I24" s="15">
        <v>68</v>
      </c>
      <c r="J24" s="16">
        <v>100</v>
      </c>
      <c r="K24" s="16">
        <f t="shared" si="0"/>
        <v>6800</v>
      </c>
      <c r="L24" s="16">
        <v>6000</v>
      </c>
      <c r="M24" s="16">
        <f t="shared" si="1"/>
        <v>12800</v>
      </c>
      <c r="N24" s="5"/>
      <c r="O24" s="6"/>
    </row>
    <row r="25" spans="1:15" ht="25.5">
      <c r="A25" s="14">
        <v>18</v>
      </c>
      <c r="B25" s="47" t="s">
        <v>39</v>
      </c>
      <c r="C25" s="18">
        <v>1680507574</v>
      </c>
      <c r="D25" s="45">
        <v>8274701716</v>
      </c>
      <c r="E25" s="21" t="s">
        <v>92</v>
      </c>
      <c r="F25" s="14" t="s">
        <v>80</v>
      </c>
      <c r="G25" s="45" t="s">
        <v>49</v>
      </c>
      <c r="H25" s="45" t="s">
        <v>64</v>
      </c>
      <c r="I25" s="15">
        <v>68</v>
      </c>
      <c r="J25" s="16">
        <v>100</v>
      </c>
      <c r="K25" s="16">
        <f t="shared" si="0"/>
        <v>6800</v>
      </c>
      <c r="L25" s="16">
        <v>6000</v>
      </c>
      <c r="M25" s="16">
        <f t="shared" si="1"/>
        <v>12800</v>
      </c>
      <c r="N25" s="5"/>
      <c r="O25" s="6"/>
    </row>
    <row r="26" spans="1:15">
      <c r="A26" s="14">
        <v>19</v>
      </c>
      <c r="B26" s="46" t="s">
        <v>40</v>
      </c>
      <c r="C26" s="27">
        <v>1324938025</v>
      </c>
      <c r="D26" s="43">
        <v>1952598330</v>
      </c>
      <c r="E26" s="26">
        <v>200026025502</v>
      </c>
      <c r="F26" s="34" t="s">
        <v>81</v>
      </c>
      <c r="G26" s="43" t="s">
        <v>20</v>
      </c>
      <c r="H26" s="43" t="s">
        <v>65</v>
      </c>
      <c r="I26" s="16">
        <v>69</v>
      </c>
      <c r="J26" s="16">
        <v>100</v>
      </c>
      <c r="K26" s="16">
        <f t="shared" si="0"/>
        <v>6900</v>
      </c>
      <c r="L26" s="16">
        <v>6000</v>
      </c>
      <c r="M26" s="16">
        <f t="shared" si="1"/>
        <v>12900</v>
      </c>
    </row>
    <row r="27" spans="1:15" ht="25.5">
      <c r="A27" s="14">
        <v>20</v>
      </c>
      <c r="B27" s="47" t="s">
        <v>41</v>
      </c>
      <c r="C27" s="27">
        <v>1747598219</v>
      </c>
      <c r="D27" s="45" t="s">
        <v>88</v>
      </c>
      <c r="E27" s="26">
        <v>200001202282</v>
      </c>
      <c r="F27" s="34" t="s">
        <v>82</v>
      </c>
      <c r="G27" s="45" t="s">
        <v>20</v>
      </c>
      <c r="H27" s="45" t="s">
        <v>66</v>
      </c>
      <c r="I27" s="16">
        <v>66</v>
      </c>
      <c r="J27" s="16">
        <v>100</v>
      </c>
      <c r="K27" s="16">
        <f t="shared" si="0"/>
        <v>6600</v>
      </c>
      <c r="L27" s="16">
        <v>6000</v>
      </c>
      <c r="M27" s="16">
        <f t="shared" si="1"/>
        <v>12600</v>
      </c>
    </row>
    <row r="28" spans="1:15">
      <c r="A28" s="14">
        <v>21</v>
      </c>
      <c r="B28" s="46" t="s">
        <v>42</v>
      </c>
      <c r="C28" s="27">
        <v>1324938026</v>
      </c>
      <c r="D28" s="43">
        <v>9592940481</v>
      </c>
      <c r="E28" s="26">
        <v>200026025363</v>
      </c>
      <c r="F28" s="34" t="s">
        <v>81</v>
      </c>
      <c r="G28" s="43" t="s">
        <v>20</v>
      </c>
      <c r="H28" s="43" t="s">
        <v>65</v>
      </c>
      <c r="I28" s="16">
        <v>69</v>
      </c>
      <c r="J28" s="16">
        <v>100</v>
      </c>
      <c r="K28" s="16">
        <f t="shared" si="0"/>
        <v>6900</v>
      </c>
      <c r="L28" s="16">
        <v>6000</v>
      </c>
      <c r="M28" s="16">
        <f t="shared" si="1"/>
        <v>12900</v>
      </c>
    </row>
    <row r="29" spans="1:15">
      <c r="A29" s="14">
        <v>22</v>
      </c>
      <c r="B29" s="47" t="s">
        <v>43</v>
      </c>
      <c r="C29" s="27">
        <v>1819593226</v>
      </c>
      <c r="D29" s="45">
        <v>7777366845</v>
      </c>
      <c r="E29" s="26">
        <v>200026014554</v>
      </c>
      <c r="F29" s="34" t="s">
        <v>83</v>
      </c>
      <c r="G29" s="45" t="s">
        <v>20</v>
      </c>
      <c r="H29" s="45" t="s">
        <v>67</v>
      </c>
      <c r="I29" s="16">
        <v>70</v>
      </c>
      <c r="J29" s="16">
        <v>100</v>
      </c>
      <c r="K29" s="16">
        <f t="shared" si="0"/>
        <v>7000</v>
      </c>
      <c r="L29" s="16">
        <v>6000</v>
      </c>
      <c r="M29" s="16">
        <f t="shared" si="1"/>
        <v>13000</v>
      </c>
    </row>
    <row r="30" spans="1:15">
      <c r="A30" s="35"/>
      <c r="B30" s="35"/>
      <c r="C30" s="36"/>
      <c r="D30" s="37"/>
      <c r="E30" s="9"/>
      <c r="F30" s="37"/>
      <c r="G30" s="37"/>
      <c r="H30" s="37"/>
      <c r="I30" s="7"/>
      <c r="J30" s="7"/>
      <c r="K30" s="7"/>
      <c r="L30" s="7"/>
      <c r="M30" s="7"/>
      <c r="N30" s="8"/>
    </row>
  </sheetData>
  <mergeCells count="6">
    <mergeCell ref="A6:N6"/>
    <mergeCell ref="A4:N4"/>
    <mergeCell ref="A5:N5"/>
    <mergeCell ref="A1:N1"/>
    <mergeCell ref="A2:N2"/>
    <mergeCell ref="A3:N3"/>
  </mergeCells>
  <phoneticPr fontId="1" type="noConversion"/>
  <printOptions horizontalCentered="1"/>
  <pageMargins left="0.2" right="0.2" top="1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Careerlift</cp:lastModifiedBy>
  <cp:lastPrinted>2026-07-02T10:53:10Z</cp:lastPrinted>
  <dcterms:created xsi:type="dcterms:W3CDTF">2025-11-10T03:13:39Z</dcterms:created>
  <dcterms:modified xsi:type="dcterms:W3CDTF">2026-07-02T12:13:33Z</dcterms:modified>
</cp:coreProperties>
</file>